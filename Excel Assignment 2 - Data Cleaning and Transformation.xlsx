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oupten-my.sharepoint.com/personal/nalinis_promantusinc_com/Documents/Documents/DA/"/>
    </mc:Choice>
  </mc:AlternateContent>
  <xr:revisionPtr revIDLastSave="596" documentId="11_3C784BE47D5BC9D6C729A121CD02E8CB7FE6236B" xr6:coauthVersionLast="47" xr6:coauthVersionMax="47" xr10:uidLastSave="{9CB78038-3515-4C43-8378-6B5A564CBFA9}"/>
  <bookViews>
    <workbookView xWindow="-110" yWindow="-110" windowWidth="19420" windowHeight="10300" activeTab="1" xr2:uid="{00000000-000D-0000-FFFF-FFFF00000000}"/>
  </bookViews>
  <sheets>
    <sheet name="Instructions" sheetId="1" r:id="rId1"/>
    <sheet name="Data Set" sheetId="4" r:id="rId2"/>
    <sheet name="Copy of Data 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2" i="4" l="1"/>
  <c r="M2" i="4" s="1"/>
  <c r="L7" i="4"/>
  <c r="M7" i="4" s="1"/>
  <c r="L32" i="4"/>
  <c r="M32" i="4" s="1"/>
  <c r="L3" i="4"/>
  <c r="M3" i="4" s="1"/>
  <c r="L4" i="4"/>
  <c r="M4" i="4" s="1"/>
  <c r="L5" i="4"/>
  <c r="M5" i="4" s="1"/>
  <c r="L6" i="4"/>
  <c r="M6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D4" i="4"/>
  <c r="D17" i="4"/>
  <c r="D26" i="4"/>
  <c r="D5" i="4"/>
  <c r="D18" i="4"/>
  <c r="D6" i="4"/>
  <c r="D19" i="4"/>
  <c r="D27" i="4"/>
  <c r="D7" i="4"/>
  <c r="D31" i="4"/>
  <c r="D8" i="4"/>
  <c r="D20" i="4"/>
  <c r="D9" i="4"/>
  <c r="D10" i="4"/>
  <c r="D11" i="4"/>
  <c r="D2" i="4"/>
  <c r="D12" i="4"/>
  <c r="D13" i="4"/>
  <c r="D21" i="4"/>
  <c r="D32" i="4"/>
  <c r="D14" i="4"/>
  <c r="D28" i="4"/>
  <c r="D22" i="4"/>
  <c r="D15" i="4"/>
  <c r="D23" i="4"/>
  <c r="D29" i="4"/>
  <c r="D24" i="4"/>
  <c r="D30" i="4"/>
  <c r="D16" i="4"/>
  <c r="D25" i="4"/>
  <c r="D3" i="4"/>
  <c r="C4" i="4"/>
  <c r="C17" i="4"/>
  <c r="C26" i="4"/>
  <c r="C5" i="4"/>
  <c r="C18" i="4"/>
  <c r="C6" i="4"/>
  <c r="C19" i="4"/>
  <c r="C27" i="4"/>
  <c r="C7" i="4"/>
  <c r="C31" i="4"/>
  <c r="C8" i="4"/>
  <c r="C20" i="4"/>
  <c r="C9" i="4"/>
  <c r="C10" i="4"/>
  <c r="C11" i="4"/>
  <c r="C2" i="4"/>
  <c r="C12" i="4"/>
  <c r="C13" i="4"/>
  <c r="C21" i="4"/>
  <c r="C32" i="4"/>
  <c r="C14" i="4"/>
  <c r="C28" i="4"/>
  <c r="C22" i="4"/>
  <c r="C15" i="4"/>
  <c r="C23" i="4"/>
  <c r="C29" i="4"/>
  <c r="C24" i="4"/>
  <c r="C30" i="4"/>
  <c r="C16" i="4"/>
  <c r="C25" i="4"/>
  <c r="C3" i="4"/>
  <c r="F4" i="4"/>
  <c r="F17" i="4"/>
  <c r="F26" i="4"/>
  <c r="F5" i="4"/>
  <c r="F18" i="4"/>
  <c r="F6" i="4"/>
  <c r="F19" i="4"/>
  <c r="F27" i="4"/>
  <c r="F7" i="4"/>
  <c r="F31" i="4"/>
  <c r="F8" i="4"/>
  <c r="F20" i="4"/>
  <c r="F9" i="4"/>
  <c r="F10" i="4"/>
  <c r="F11" i="4"/>
  <c r="F2" i="4"/>
  <c r="F12" i="4"/>
  <c r="F13" i="4"/>
  <c r="F21" i="4"/>
  <c r="F32" i="4"/>
  <c r="F14" i="4"/>
  <c r="F28" i="4"/>
  <c r="F22" i="4"/>
  <c r="F15" i="4"/>
  <c r="F23" i="4"/>
  <c r="F29" i="4"/>
  <c r="F24" i="4"/>
  <c r="F30" i="4"/>
  <c r="F16" i="4"/>
  <c r="F25" i="4"/>
  <c r="F3" i="4"/>
  <c r="G18" i="4"/>
  <c r="J18" i="4" s="1"/>
  <c r="G3" i="4"/>
  <c r="J3" i="4" s="1"/>
  <c r="G25" i="4"/>
  <c r="J25" i="4" s="1"/>
  <c r="G16" i="4"/>
  <c r="J16" i="4" s="1"/>
  <c r="G30" i="4"/>
  <c r="J30" i="4" s="1"/>
  <c r="G24" i="4"/>
  <c r="J24" i="4" s="1"/>
  <c r="G29" i="4"/>
  <c r="J29" i="4" s="1"/>
  <c r="G23" i="4"/>
  <c r="J23" i="4" s="1"/>
  <c r="G15" i="4"/>
  <c r="J15" i="4" s="1"/>
  <c r="G22" i="4"/>
  <c r="J22" i="4" s="1"/>
  <c r="G28" i="4"/>
  <c r="J28" i="4" s="1"/>
  <c r="G14" i="4"/>
  <c r="J14" i="4" s="1"/>
  <c r="G32" i="4"/>
  <c r="J32" i="4" s="1"/>
  <c r="G21" i="4"/>
  <c r="J21" i="4" s="1"/>
  <c r="G13" i="4"/>
  <c r="J13" i="4" s="1"/>
  <c r="G12" i="4"/>
  <c r="J12" i="4" s="1"/>
  <c r="G2" i="4"/>
  <c r="J2" i="4" s="1"/>
  <c r="G11" i="4"/>
  <c r="J11" i="4" s="1"/>
  <c r="G10" i="4"/>
  <c r="J10" i="4" s="1"/>
  <c r="G9" i="4"/>
  <c r="J9" i="4" s="1"/>
  <c r="G20" i="4"/>
  <c r="J20" i="4" s="1"/>
  <c r="G8" i="4"/>
  <c r="J8" i="4" s="1"/>
  <c r="G31" i="4"/>
  <c r="J31" i="4" s="1"/>
  <c r="G7" i="4"/>
  <c r="J7" i="4" s="1"/>
  <c r="G27" i="4"/>
  <c r="J27" i="4" s="1"/>
  <c r="G19" i="4"/>
  <c r="J19" i="4" s="1"/>
  <c r="G6" i="4"/>
  <c r="J6" i="4" s="1"/>
  <c r="G5" i="4"/>
  <c r="J5" i="4" s="1"/>
  <c r="G26" i="4"/>
  <c r="J26" i="4" s="1"/>
  <c r="G17" i="4"/>
  <c r="J17" i="4" s="1"/>
  <c r="G4" i="4"/>
  <c r="J4" i="4" s="1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E15" i="4" l="1"/>
  <c r="E20" i="4"/>
  <c r="E16" i="4"/>
  <c r="E12" i="4"/>
  <c r="E2" i="4"/>
  <c r="E30" i="4"/>
  <c r="E22" i="4"/>
  <c r="E8" i="4"/>
  <c r="E28" i="4"/>
  <c r="E31" i="4"/>
  <c r="E14" i="4"/>
  <c r="E7" i="4"/>
  <c r="E32" i="4"/>
  <c r="E27" i="4"/>
  <c r="E3" i="4"/>
  <c r="E21" i="4"/>
  <c r="E19" i="4"/>
  <c r="E25" i="4"/>
  <c r="E13" i="4"/>
  <c r="E6" i="4"/>
  <c r="E18" i="4"/>
  <c r="E5" i="4"/>
  <c r="E24" i="4"/>
  <c r="E11" i="4"/>
  <c r="E26" i="4"/>
  <c r="E29" i="4"/>
  <c r="E10" i="4"/>
  <c r="E17" i="4"/>
  <c r="E23" i="4"/>
  <c r="E9" i="4"/>
  <c r="E4" i="4"/>
</calcChain>
</file>

<file path=xl/sharedStrings.xml><?xml version="1.0" encoding="utf-8"?>
<sst xmlns="http://schemas.openxmlformats.org/spreadsheetml/2006/main" count="313" uniqueCount="124">
  <si>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</si>
  <si>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</si>
  <si>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</si>
  <si>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</si>
  <si>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</si>
  <si>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</si>
  <si>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</si>
  <si>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</si>
  <si>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</si>
  <si>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</si>
  <si>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</si>
  <si>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</si>
  <si>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</si>
  <si>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</si>
  <si>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</si>
  <si>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</si>
  <si>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</si>
  <si>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</si>
  <si>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</si>
  <si>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</si>
  <si>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</si>
  <si>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</si>
  <si>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</si>
  <si>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</si>
  <si>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</si>
  <si>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</si>
  <si>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</si>
  <si>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</si>
  <si>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</si>
  <si>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</si>
  <si>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</si>
  <si>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</si>
  <si>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</si>
  <si>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</si>
  <si>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</si>
  <si>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</si>
  <si>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</si>
  <si>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</si>
  <si>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</si>
  <si>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</si>
  <si>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</si>
  <si>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</si>
  <si>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</si>
  <si>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</si>
  <si>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</si>
  <si>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</si>
  <si>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</si>
  <si>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</si>
  <si>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</si>
  <si>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</si>
  <si>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</si>
  <si>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</si>
  <si>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</si>
  <si>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</si>
  <si>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</si>
  <si>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</si>
  <si>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</si>
  <si>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</si>
  <si>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</si>
  <si>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</si>
  <si>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</si>
  <si>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</si>
  <si>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</si>
  <si>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</si>
  <si>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</si>
  <si>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</si>
  <si>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</si>
  <si>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</si>
  <si>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</si>
  <si>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</si>
  <si>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</si>
  <si>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</si>
  <si>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</si>
  <si>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</si>
  <si>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</si>
  <si>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</si>
  <si>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</si>
  <si>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</si>
  <si>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</si>
  <si>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</si>
  <si>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</si>
  <si>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</si>
  <si>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</si>
  <si>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</si>
  <si>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</si>
  <si>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</si>
  <si>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</si>
  <si>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</si>
  <si>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</si>
  <si>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</si>
  <si>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</si>
  <si>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</si>
  <si>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</si>
  <si>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</si>
  <si>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</si>
  <si>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</si>
  <si>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</si>
  <si>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</si>
  <si>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</si>
  <si>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</si>
  <si>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</si>
  <si>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</si>
  <si>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</si>
  <si>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</si>
  <si>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</si>
  <si>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</si>
  <si>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</si>
  <si>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</si>
  <si>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</si>
  <si>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</si>
  <si>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</si>
  <si>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</si>
  <si>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</si>
  <si>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</si>
  <si>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</si>
  <si>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</si>
  <si>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</si>
  <si>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Column3</t>
  </si>
  <si>
    <t>Column4</t>
  </si>
  <si>
    <t>Column5</t>
  </si>
  <si>
    <t>Column6</t>
  </si>
  <si>
    <t>Product Brand</t>
  </si>
  <si>
    <t>Manufacturing Date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</si>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</sst>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[$-14009]dd/mm/yyyy;@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164" fontId="9" fillId="3" borderId="8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;[Red]&quot;₹&quot;\ #,##0.00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;[Red]&quot;₹&quot;\ #,##0.00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14009]dd/mm/yyyy;@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9C214-C81E-45D1-956B-D816ABD23C66}" name="Table134" displayName="Table134" ref="A1:N32" totalsRowShown="0" headerRowDxfId="31" dataDxfId="29" headerRowBorderDxfId="30" tableBorderDxfId="28" totalsRowBorderDxfId="27">
  <autoFilter ref="A1:N32" xr:uid="{6509C214-C81E-45D1-956B-D816ABD23C66}"/>
  <sortState xmlns:xlrd2="http://schemas.microsoft.com/office/spreadsheetml/2017/richdata2" ref="A2:N32">
    <sortCondition ref="N11:N32"/>
  </sortState>
  <tableColumns count="14">
    <tableColumn id="1" xr3:uid="{3AF84D9F-3B4B-4CBF-8796-76449A900012}" name="Product ID" dataDxfId="26"/>
    <tableColumn id="2" xr3:uid="{13E698D5-ADAC-4163-B664-6F770F533836}" name="Product Name" dataDxfId="25"/>
    <tableColumn id="15" xr3:uid="{F7E61515-8C3A-4F73-980D-261073EFF8AA}" name="Manufacturing Date" dataDxfId="24">
      <calculatedColumnFormula>LEFT(A2, 2)</calculatedColumnFormula>
    </tableColumn>
    <tableColumn id="10" xr3:uid="{C197BFEC-105C-447F-AEA7-9E4E6F202AC7}" name="Column3" dataDxfId="23">
      <calculatedColumnFormula>MID(A2, 4,3)</calculatedColumnFormula>
    </tableColumn>
    <tableColumn id="11" xr3:uid="{389940A2-63C3-4D96-9F39-E6C9A82C73FE}" name="Column4" dataDxfId="22">
      <calculatedColumnFormula>DATE(YEAR(TODAY())-IF(DATE(YEAR(TODAY()),MONTH(DATEVALUE(D2&amp;" 1")),C2)&gt;TODAY(),1,0),MONTH(DATEVALUE(D2&amp;" 1")),C2)</calculatedColumnFormula>
    </tableColumn>
    <tableColumn id="14" xr3:uid="{2E5B5B87-73E9-461F-B415-8A2A892D732F}" name="Country Code" dataDxfId="21">
      <calculatedColumnFormula>RIGHT(A2, 2)</calculatedColumnFormula>
    </tableColumn>
    <tableColumn id="7" xr3:uid="{E02C78CE-DE14-41E2-BC90-95AAE93B40D6}" name="Column1" dataDxfId="20">
      <calculatedColumnFormula>PROPER(Table134[[#This Row],[Product Name]])</calculatedColumnFormula>
    </tableColumn>
    <tableColumn id="3" xr3:uid="{961F0FBD-ED4B-46E9-91EF-3F0D2DA26728}" name="Brand Name" dataDxfId="19"/>
    <tableColumn id="4" xr3:uid="{4DD1DCB2-67E2-4EB1-9396-D80100209914}" name="Price ($)" dataDxfId="18"/>
    <tableColumn id="16" xr3:uid="{703D81C0-B0F6-4B40-8166-3AA2F8ABCDEA}" name="Product Brand" dataDxfId="17">
      <calculatedColumnFormula>_xlfn.CONCAT(G2, " ", H2)</calculatedColumnFormula>
    </tableColumn>
    <tableColumn id="5" xr3:uid="{63A943ED-D3D0-413E-9A6E-5868BFB68763}" name="Quantity" dataDxfId="16"/>
    <tableColumn id="17" xr3:uid="{D8891282-EB5F-4FD7-BE18-739FD2A75D6A}" name="Column6" dataDxfId="15">
      <calculatedColumnFormula>IF(I2="",AVERAGEIF(B:B,B2,I:I),I2)</calculatedColumnFormula>
    </tableColumn>
    <tableColumn id="12" xr3:uid="{61FD45D9-6033-4538-9B79-FA43F0A9E3B1}" name="Column5" dataDxfId="14">
      <calculatedColumnFormula>IF(L2&lt;=300,"Low",IF(L2&lt;=700,"Medium","High"))</calculatedColumnFormula>
    </tableColumn>
    <tableColumn id="6" xr3:uid="{FC8C7725-B943-45C9-A06D-6314C0D0C000}" name="Category" dataDxfId="13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5C33D-3692-4B05-B3B7-83595DF1DD10}" name="Table13" displayName="Table13" ref="A1:G35" totalsRowShown="0" headerRowDxfId="12" dataDxfId="10" headerRowBorderDxfId="11" tableBorderDxfId="9" totalsRowBorderDxfId="8">
  <autoFilter ref="A1:G35" xr:uid="{28E5C33D-3692-4B05-B3B7-83595DF1DD10}"/>
  <tableColumns count="7">
    <tableColumn id="1" xr3:uid="{057E6F5E-129C-4904-A8DD-6A4052373814}" name="Product ID" dataDxfId="7"/>
    <tableColumn id="2" xr3:uid="{ADDDF6C8-258D-4FEF-B747-572332216B1A}" name="Product Name" dataDxfId="6"/>
    <tableColumn id="7" xr3:uid="{7F884AA4-6BE8-42B9-90D6-1CD30F2909B2}" name="Column1" dataDxfId="5">
      <calculatedColumnFormula>PROPER(Table13[[#This Row],[Product Name]])</calculatedColumnFormula>
    </tableColumn>
    <tableColumn id="3" xr3:uid="{88843216-3137-42F1-9F5A-FB41BCDF4DE4}" name="Brand Name" dataDxfId="4"/>
    <tableColumn id="4" xr3:uid="{7DBE5CCB-1DB3-4906-887B-9C8B28AF00BE}" name="Price ($)" dataDxfId="3"/>
    <tableColumn id="5" xr3:uid="{C4D478E9-8398-4CA2-AAF2-CED81E2DF3F2}" name="Quantity" dataDxfId="2"/>
    <tableColumn id="6" xr3:uid="{C1D0135E-5C7D-4591-9F62-D3F8D6CBBE7F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3" workbookViewId="0">
      <selection activeCell="B3" sqref="B3:D30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5389-DD1B-4A9F-95D0-97058AAD4B87}">
  <dimension ref="A1:R32"/>
  <sheetViews>
    <sheetView tabSelected="1" workbookViewId="0">
      <selection activeCell="L2" sqref="L2"/>
    </sheetView>
  </sheetViews>
  <sheetFormatPr defaultRowHeight="12.5" x14ac:dyDescent="0.25"/>
  <cols>
    <col min="1" max="1" width="14.453125" style="19" bestFit="1" customWidth="1"/>
    <col min="2" max="2" width="17.6328125" style="19" customWidth="1"/>
    <col min="3" max="4" width="17.6328125" style="19" hidden="1" customWidth="1"/>
    <col min="5" max="5" width="17.6328125" style="31" hidden="1" customWidth="1"/>
    <col min="6" max="6" width="17.6328125" style="19" hidden="1" customWidth="1"/>
    <col min="7" max="7" width="13.36328125" style="19" hidden="1" customWidth="1"/>
    <col min="8" max="8" width="15.90625" style="19" hidden="1" customWidth="1"/>
    <col min="9" max="9" width="12.54296875" style="19" customWidth="1"/>
    <col min="10" max="10" width="21.1796875" style="19" bestFit="1" customWidth="1"/>
    <col min="11" max="11" width="12.7265625" style="19" bestFit="1" customWidth="1"/>
    <col min="12" max="13" width="12.7265625" style="19" customWidth="1"/>
    <col min="14" max="14" width="13.1796875" style="19" bestFit="1" customWidth="1"/>
    <col min="16" max="16" width="12.26953125" customWidth="1"/>
    <col min="17" max="17" width="29" customWidth="1"/>
  </cols>
  <sheetData>
    <row r="1" spans="1:18" ht="13" x14ac:dyDescent="0.25">
      <c r="A1" s="7" t="s">
        <v>19</v>
      </c>
      <c r="B1" s="8" t="s">
        <v>20</v>
      </c>
      <c r="C1" s="20" t="s">
        <v>122</v>
      </c>
      <c r="D1" s="20" t="s">
        <v>117</v>
      </c>
      <c r="E1" s="27" t="s">
        <v>118</v>
      </c>
      <c r="F1" s="20" t="s">
        <v>123</v>
      </c>
      <c r="G1" s="8" t="s">
        <v>116</v>
      </c>
      <c r="H1" s="8" t="s">
        <v>21</v>
      </c>
      <c r="I1" s="8" t="s">
        <v>22</v>
      </c>
      <c r="J1" s="20" t="s">
        <v>121</v>
      </c>
      <c r="K1" s="20" t="s">
        <v>23</v>
      </c>
      <c r="L1" s="21" t="s">
        <v>120</v>
      </c>
      <c r="M1" s="21" t="s">
        <v>119</v>
      </c>
      <c r="N1" s="9" t="s">
        <v>24</v>
      </c>
    </row>
    <row r="2" spans="1:18" x14ac:dyDescent="0.25">
      <c r="A2" s="13" t="s">
        <v>72</v>
      </c>
      <c r="B2" s="14" t="s">
        <v>73</v>
      </c>
      <c r="C2" s="14" t="str">
        <f t="shared" ref="C2:C32" si="0">LEFT(A2, 2)</f>
        <v>21</v>
      </c>
      <c r="D2" s="14" t="str">
        <f t="shared" ref="D2:D32" si="1">MID(A2, 4,3)</f>
        <v>AUG</v>
      </c>
      <c r="E2" s="29">
        <f t="shared" ref="E2:E32" ca="1" si="2">DATE(YEAR(TODAY())-IF(DATE(YEAR(TODAY()),MONTH(DATEVALUE(D2&amp;" 1")),C2)&gt;TODAY(),1,0),MONTH(DATEVALUE(D2&amp;" 1")),C2)</f>
        <v>45890</v>
      </c>
      <c r="F2" s="14" t="str">
        <f t="shared" ref="F2:F32" si="3">RIGHT(A2, 2)</f>
        <v>CA</v>
      </c>
      <c r="G2" s="14" t="str">
        <f>PROPER(Table134[[#This Row],[Product Name]])</f>
        <v>Laptop Bag</v>
      </c>
      <c r="H2" s="14" t="s">
        <v>74</v>
      </c>
      <c r="I2" s="14">
        <v>50</v>
      </c>
      <c r="J2" s="14" t="str">
        <f t="shared" ref="J2:J32" si="4">_xlfn.CONCAT(G2, " ", H2)</f>
        <v>Laptop Bag Samsonite</v>
      </c>
      <c r="K2" s="14">
        <v>35</v>
      </c>
      <c r="L2" s="24">
        <f>IF(I2="",AVERAGEIF(B2:B32,B2,I2:I32),I2)</f>
        <v>50</v>
      </c>
      <c r="M2" s="26" t="str">
        <f t="shared" ref="M2:M31" si="5">IF(L2&lt;=300,"Low",IF(L2&lt;=700,"Medium","High"))</f>
        <v>Low</v>
      </c>
      <c r="N2" s="15" t="s">
        <v>75</v>
      </c>
    </row>
    <row r="3" spans="1:18" ht="15" x14ac:dyDescent="0.3">
      <c r="A3" s="13" t="s">
        <v>113</v>
      </c>
      <c r="B3" s="14" t="s">
        <v>114</v>
      </c>
      <c r="C3" s="14" t="str">
        <f t="shared" si="0"/>
        <v>09</v>
      </c>
      <c r="D3" s="14" t="str">
        <f t="shared" si="1"/>
        <v>JUL</v>
      </c>
      <c r="E3" s="29">
        <f t="shared" ca="1" si="2"/>
        <v>45847</v>
      </c>
      <c r="F3" s="14" t="str">
        <f t="shared" si="3"/>
        <v>FR</v>
      </c>
      <c r="G3" s="14" t="str">
        <f>PROPER(Table134[[#This Row],[Product Name]])</f>
        <v>Watch</v>
      </c>
      <c r="H3" s="14" t="s">
        <v>115</v>
      </c>
      <c r="I3" s="14">
        <v>100</v>
      </c>
      <c r="J3" s="14" t="str">
        <f t="shared" si="4"/>
        <v>Watch Casio</v>
      </c>
      <c r="K3" s="14">
        <v>20</v>
      </c>
      <c r="L3" s="32">
        <f t="shared" ref="L3:L31" si="6">IF(I3="",AVERAGEIF(B:B,B3,I:I),I3)</f>
        <v>100</v>
      </c>
      <c r="M3" s="32" t="str">
        <f t="shared" si="5"/>
        <v>Low</v>
      </c>
      <c r="N3" s="15" t="s">
        <v>75</v>
      </c>
      <c r="P3" s="2" t="s">
        <v>1</v>
      </c>
    </row>
    <row r="4" spans="1:18" ht="15.5" x14ac:dyDescent="0.35">
      <c r="A4" s="10" t="s">
        <v>25</v>
      </c>
      <c r="B4" s="11" t="s">
        <v>26</v>
      </c>
      <c r="C4" s="11" t="str">
        <f t="shared" si="0"/>
        <v>28</v>
      </c>
      <c r="D4" s="11" t="str">
        <f t="shared" si="1"/>
        <v>JAN</v>
      </c>
      <c r="E4" s="28">
        <f t="shared" ca="1" si="2"/>
        <v>46050</v>
      </c>
      <c r="F4" s="11" t="str">
        <f t="shared" si="3"/>
        <v>US</v>
      </c>
      <c r="G4" s="11" t="str">
        <f>PROPER(Table134[[#This Row],[Product Name]])</f>
        <v>Laptop</v>
      </c>
      <c r="H4" s="11" t="s">
        <v>27</v>
      </c>
      <c r="I4" s="11">
        <v>1000</v>
      </c>
      <c r="J4" s="11" t="str">
        <f t="shared" si="4"/>
        <v>Laptop Dell</v>
      </c>
      <c r="K4" s="11">
        <v>30</v>
      </c>
      <c r="L4" s="33">
        <f t="shared" si="6"/>
        <v>1000</v>
      </c>
      <c r="M4" s="33" t="str">
        <f t="shared" si="5"/>
        <v>High</v>
      </c>
      <c r="N4" s="12" t="s">
        <v>28</v>
      </c>
      <c r="Q4" s="3" t="s">
        <v>2</v>
      </c>
    </row>
    <row r="5" spans="1:18" ht="15.5" x14ac:dyDescent="0.35">
      <c r="A5" s="13" t="s">
        <v>37</v>
      </c>
      <c r="B5" s="14" t="s">
        <v>38</v>
      </c>
      <c r="C5" s="14" t="str">
        <f t="shared" si="0"/>
        <v>11</v>
      </c>
      <c r="D5" s="14" t="str">
        <f t="shared" si="1"/>
        <v>APR</v>
      </c>
      <c r="E5" s="29">
        <f t="shared" ca="1" si="2"/>
        <v>46123</v>
      </c>
      <c r="F5" s="14" t="str">
        <f t="shared" si="3"/>
        <v>US</v>
      </c>
      <c r="G5" s="14" t="str">
        <f>PROPER(Table134[[#This Row],[Product Name]])</f>
        <v>Smartphone</v>
      </c>
      <c r="H5" s="14" t="s">
        <v>39</v>
      </c>
      <c r="I5" s="14">
        <v>900</v>
      </c>
      <c r="J5" s="14" t="str">
        <f t="shared" si="4"/>
        <v>Smartphone Samsung</v>
      </c>
      <c r="K5" s="14">
        <v>25</v>
      </c>
      <c r="L5" s="32">
        <f t="shared" si="6"/>
        <v>900</v>
      </c>
      <c r="M5" s="32" t="str">
        <f t="shared" si="5"/>
        <v>High</v>
      </c>
      <c r="N5" s="15" t="s">
        <v>28</v>
      </c>
      <c r="P5" s="4"/>
      <c r="Q5" s="3" t="s">
        <v>3</v>
      </c>
    </row>
    <row r="6" spans="1:18" ht="14.5" x14ac:dyDescent="0.35">
      <c r="A6" s="13" t="s">
        <v>43</v>
      </c>
      <c r="B6" s="14" t="s">
        <v>44</v>
      </c>
      <c r="C6" s="14" t="str">
        <f t="shared" si="0"/>
        <v>07</v>
      </c>
      <c r="D6" s="14" t="str">
        <f t="shared" si="1"/>
        <v>JUN</v>
      </c>
      <c r="E6" s="29">
        <f t="shared" ca="1" si="2"/>
        <v>45815</v>
      </c>
      <c r="F6" s="14" t="str">
        <f t="shared" si="3"/>
        <v>UK</v>
      </c>
      <c r="G6" s="14" t="str">
        <f>PROPER(Table134[[#This Row],[Product Name]])</f>
        <v>Headphones</v>
      </c>
      <c r="H6" s="14" t="s">
        <v>45</v>
      </c>
      <c r="I6" s="14"/>
      <c r="J6" s="14" t="str">
        <f t="shared" si="4"/>
        <v>Headphones Sony</v>
      </c>
      <c r="K6" s="14">
        <v>45</v>
      </c>
      <c r="L6" s="32">
        <f t="shared" si="6"/>
        <v>250</v>
      </c>
      <c r="M6" s="32" t="str">
        <f t="shared" si="5"/>
        <v>Low</v>
      </c>
      <c r="N6" s="15" t="s">
        <v>28</v>
      </c>
      <c r="P6" s="4"/>
    </row>
    <row r="7" spans="1:18" ht="15" x14ac:dyDescent="0.3">
      <c r="A7" s="10" t="s">
        <v>53</v>
      </c>
      <c r="B7" s="11" t="s">
        <v>54</v>
      </c>
      <c r="C7" s="11" t="str">
        <f t="shared" si="0"/>
        <v>05</v>
      </c>
      <c r="D7" s="11" t="str">
        <f t="shared" si="1"/>
        <v>SEP</v>
      </c>
      <c r="E7" s="28">
        <f t="shared" ca="1" si="2"/>
        <v>45905</v>
      </c>
      <c r="F7" s="11" t="str">
        <f t="shared" si="3"/>
        <v>UK</v>
      </c>
      <c r="G7" s="11" t="str">
        <f>PROPER(Table134[[#This Row],[Product Name]])</f>
        <v>Tablet</v>
      </c>
      <c r="H7" s="11" t="s">
        <v>55</v>
      </c>
      <c r="I7" s="11">
        <v>500</v>
      </c>
      <c r="J7" s="11" t="str">
        <f t="shared" si="4"/>
        <v>Tablet Apple</v>
      </c>
      <c r="K7" s="11">
        <v>50</v>
      </c>
      <c r="L7" s="33">
        <f>IF(I7="",AVERAGEIF(B2:B32,B7,I2:I32),I7)</f>
        <v>500</v>
      </c>
      <c r="M7" s="33" t="str">
        <f t="shared" si="5"/>
        <v>Medium</v>
      </c>
      <c r="N7" s="12" t="s">
        <v>28</v>
      </c>
      <c r="P7" s="2" t="s">
        <v>4</v>
      </c>
    </row>
    <row r="8" spans="1:18" ht="15.5" x14ac:dyDescent="0.35">
      <c r="A8" s="10" t="s">
        <v>60</v>
      </c>
      <c r="B8" s="11" t="s">
        <v>61</v>
      </c>
      <c r="C8" s="11" t="str">
        <f t="shared" si="0"/>
        <v>17</v>
      </c>
      <c r="D8" s="11" t="str">
        <f t="shared" si="1"/>
        <v>JUN</v>
      </c>
      <c r="E8" s="28">
        <f t="shared" ca="1" si="2"/>
        <v>45825</v>
      </c>
      <c r="F8" s="11" t="str">
        <f t="shared" si="3"/>
        <v>IN</v>
      </c>
      <c r="G8" s="11" t="str">
        <f>PROPER(Table134[[#This Row],[Product Name]])</f>
        <v>Laptop</v>
      </c>
      <c r="H8" s="11" t="s">
        <v>62</v>
      </c>
      <c r="I8" s="11">
        <v>950</v>
      </c>
      <c r="J8" s="11" t="str">
        <f t="shared" si="4"/>
        <v>Laptop HP</v>
      </c>
      <c r="K8" s="11">
        <v>25</v>
      </c>
      <c r="L8" s="33">
        <f t="shared" si="6"/>
        <v>950</v>
      </c>
      <c r="M8" s="33" t="str">
        <f t="shared" si="5"/>
        <v>High</v>
      </c>
      <c r="N8" s="12" t="s">
        <v>28</v>
      </c>
      <c r="Q8" s="3" t="s">
        <v>5</v>
      </c>
    </row>
    <row r="9" spans="1:18" ht="15.5" x14ac:dyDescent="0.35">
      <c r="A9" s="10" t="s">
        <v>64</v>
      </c>
      <c r="B9" s="11" t="s">
        <v>34</v>
      </c>
      <c r="C9" s="11" t="str">
        <f t="shared" si="0"/>
        <v>08</v>
      </c>
      <c r="D9" s="11" t="str">
        <f t="shared" si="1"/>
        <v>DEC</v>
      </c>
      <c r="E9" s="28">
        <f t="shared" ca="1" si="2"/>
        <v>45999</v>
      </c>
      <c r="F9" s="11" t="str">
        <f t="shared" si="3"/>
        <v>DE</v>
      </c>
      <c r="G9" s="11" t="str">
        <f>PROPER(Table134[[#This Row],[Product Name]])</f>
        <v>Coffee Maker</v>
      </c>
      <c r="H9" s="11" t="s">
        <v>65</v>
      </c>
      <c r="I9" s="11">
        <v>120</v>
      </c>
      <c r="J9" s="11" t="str">
        <f t="shared" si="4"/>
        <v>Coffee Maker Nespresso</v>
      </c>
      <c r="K9" s="11">
        <v>35</v>
      </c>
      <c r="L9" s="33">
        <f t="shared" si="6"/>
        <v>120</v>
      </c>
      <c r="M9" s="33" t="str">
        <f t="shared" si="5"/>
        <v>Low</v>
      </c>
      <c r="N9" s="22" t="s">
        <v>28</v>
      </c>
      <c r="Q9" s="3" t="s">
        <v>6</v>
      </c>
    </row>
    <row r="10" spans="1:18" ht="15.5" x14ac:dyDescent="0.35">
      <c r="A10" s="13" t="s">
        <v>66</v>
      </c>
      <c r="B10" s="14" t="s">
        <v>67</v>
      </c>
      <c r="C10" s="14" t="str">
        <f t="shared" si="0"/>
        <v>18</v>
      </c>
      <c r="D10" s="14" t="str">
        <f t="shared" si="1"/>
        <v>FEB</v>
      </c>
      <c r="E10" s="29">
        <f t="shared" ca="1" si="2"/>
        <v>46071</v>
      </c>
      <c r="F10" s="14" t="str">
        <f t="shared" si="3"/>
        <v>CA</v>
      </c>
      <c r="G10" s="14" t="str">
        <f>PROPER(Table134[[#This Row],[Product Name]])</f>
        <v>Smartwatch</v>
      </c>
      <c r="H10" s="14" t="s">
        <v>68</v>
      </c>
      <c r="I10" s="14">
        <v>150</v>
      </c>
      <c r="J10" s="14" t="str">
        <f t="shared" si="4"/>
        <v>Smartwatch Fitbit</v>
      </c>
      <c r="K10" s="14">
        <v>15</v>
      </c>
      <c r="L10" s="32">
        <f t="shared" si="6"/>
        <v>150</v>
      </c>
      <c r="M10" s="32" t="str">
        <f t="shared" si="5"/>
        <v>Low</v>
      </c>
      <c r="N10" s="15" t="s">
        <v>28</v>
      </c>
      <c r="Q10" s="3" t="s">
        <v>7</v>
      </c>
    </row>
    <row r="11" spans="1:18" ht="14.5" x14ac:dyDescent="0.35">
      <c r="A11" s="10" t="s">
        <v>69</v>
      </c>
      <c r="B11" s="11" t="s">
        <v>70</v>
      </c>
      <c r="C11" s="11" t="str">
        <f t="shared" si="0"/>
        <v>16</v>
      </c>
      <c r="D11" s="11" t="str">
        <f t="shared" si="1"/>
        <v>APR</v>
      </c>
      <c r="E11" s="28">
        <f t="shared" ca="1" si="2"/>
        <v>46128</v>
      </c>
      <c r="F11" s="11" t="str">
        <f t="shared" si="3"/>
        <v>ES</v>
      </c>
      <c r="G11" s="11" t="str">
        <f>PROPER(Table134[[#This Row],[Product Name]])</f>
        <v>Headphones</v>
      </c>
      <c r="H11" s="11" t="s">
        <v>71</v>
      </c>
      <c r="I11" s="11">
        <v>250</v>
      </c>
      <c r="J11" s="11" t="str">
        <f t="shared" si="4"/>
        <v>Headphones Bose</v>
      </c>
      <c r="K11" s="11">
        <v>20</v>
      </c>
      <c r="L11" s="33">
        <f t="shared" si="6"/>
        <v>250</v>
      </c>
      <c r="M11" s="33" t="str">
        <f t="shared" si="5"/>
        <v>Low</v>
      </c>
      <c r="N11" s="12" t="s">
        <v>28</v>
      </c>
      <c r="P11" s="4"/>
    </row>
    <row r="12" spans="1:18" ht="15" x14ac:dyDescent="0.3">
      <c r="A12" s="10" t="s">
        <v>76</v>
      </c>
      <c r="B12" s="11" t="s">
        <v>67</v>
      </c>
      <c r="C12" s="11" t="str">
        <f t="shared" si="0"/>
        <v>20</v>
      </c>
      <c r="D12" s="11" t="str">
        <f t="shared" si="1"/>
        <v>AUG</v>
      </c>
      <c r="E12" s="28">
        <f t="shared" ca="1" si="2"/>
        <v>45889</v>
      </c>
      <c r="F12" s="11" t="str">
        <f t="shared" si="3"/>
        <v>CN</v>
      </c>
      <c r="G12" s="11" t="str">
        <f>PROPER(Table134[[#This Row],[Product Name]])</f>
        <v>Smartwatch</v>
      </c>
      <c r="H12" s="11" t="s">
        <v>77</v>
      </c>
      <c r="I12" s="11">
        <v>160</v>
      </c>
      <c r="J12" s="11" t="str">
        <f t="shared" si="4"/>
        <v>Smartwatch Huawei</v>
      </c>
      <c r="K12" s="11">
        <v>15</v>
      </c>
      <c r="L12" s="33">
        <f t="shared" si="6"/>
        <v>160</v>
      </c>
      <c r="M12" s="33" t="str">
        <f t="shared" si="5"/>
        <v>Low</v>
      </c>
      <c r="N12" s="12" t="s">
        <v>28</v>
      </c>
      <c r="P12" s="2" t="s">
        <v>8</v>
      </c>
    </row>
    <row r="13" spans="1:18" ht="15.5" x14ac:dyDescent="0.35">
      <c r="A13" s="13" t="s">
        <v>78</v>
      </c>
      <c r="B13" s="14" t="s">
        <v>26</v>
      </c>
      <c r="C13" s="14" t="str">
        <f t="shared" si="0"/>
        <v>27</v>
      </c>
      <c r="D13" s="14" t="str">
        <f t="shared" si="1"/>
        <v>JAN</v>
      </c>
      <c r="E13" s="29">
        <f t="shared" ca="1" si="2"/>
        <v>46049</v>
      </c>
      <c r="F13" s="14" t="str">
        <f t="shared" si="3"/>
        <v>IT</v>
      </c>
      <c r="G13" s="14" t="str">
        <f>PROPER(Table134[[#This Row],[Product Name]])</f>
        <v>Laptop</v>
      </c>
      <c r="H13" s="14" t="s">
        <v>79</v>
      </c>
      <c r="I13" s="14">
        <v>980</v>
      </c>
      <c r="J13" s="14" t="str">
        <f t="shared" si="4"/>
        <v>Laptop Asus</v>
      </c>
      <c r="K13" s="14">
        <v>10</v>
      </c>
      <c r="L13" s="32">
        <f t="shared" si="6"/>
        <v>980</v>
      </c>
      <c r="M13" s="32" t="str">
        <f t="shared" si="5"/>
        <v>High</v>
      </c>
      <c r="N13" s="15" t="s">
        <v>28</v>
      </c>
      <c r="P13" s="2"/>
      <c r="Q13" s="3" t="s">
        <v>9</v>
      </c>
    </row>
    <row r="14" spans="1:18" x14ac:dyDescent="0.25">
      <c r="A14" s="10" t="s">
        <v>86</v>
      </c>
      <c r="B14" s="11" t="s">
        <v>87</v>
      </c>
      <c r="C14" s="11" t="str">
        <f t="shared" si="0"/>
        <v>14</v>
      </c>
      <c r="D14" s="11" t="str">
        <f t="shared" si="1"/>
        <v>MAY</v>
      </c>
      <c r="E14" s="28">
        <f t="shared" ca="1" si="2"/>
        <v>45791</v>
      </c>
      <c r="F14" s="11" t="str">
        <f t="shared" si="3"/>
        <v>RU</v>
      </c>
      <c r="G14" s="11" t="str">
        <f>PROPER(Table134[[#This Row],[Product Name]])</f>
        <v>Camera</v>
      </c>
      <c r="H14" s="11" t="s">
        <v>88</v>
      </c>
      <c r="I14" s="11">
        <v>700</v>
      </c>
      <c r="J14" s="11" t="str">
        <f t="shared" si="4"/>
        <v>Camera Nikon</v>
      </c>
      <c r="K14" s="11">
        <v>50</v>
      </c>
      <c r="L14" s="33">
        <f t="shared" si="6"/>
        <v>700</v>
      </c>
      <c r="M14" s="33" t="str">
        <f t="shared" si="5"/>
        <v>Medium</v>
      </c>
      <c r="N14" s="12" t="s">
        <v>28</v>
      </c>
    </row>
    <row r="15" spans="1:18" ht="15" x14ac:dyDescent="0.3">
      <c r="A15" s="10" t="s">
        <v>95</v>
      </c>
      <c r="B15" s="11" t="s">
        <v>96</v>
      </c>
      <c r="C15" s="11" t="str">
        <f t="shared" si="0"/>
        <v>29</v>
      </c>
      <c r="D15" s="11" t="str">
        <f t="shared" si="1"/>
        <v>SEP</v>
      </c>
      <c r="E15" s="28">
        <f t="shared" ca="1" si="2"/>
        <v>45929</v>
      </c>
      <c r="F15" s="11" t="str">
        <f t="shared" si="3"/>
        <v>CA</v>
      </c>
      <c r="G15" s="11" t="str">
        <f>PROPER(Table134[[#This Row],[Product Name]])</f>
        <v>Smartphone</v>
      </c>
      <c r="H15" s="11" t="s">
        <v>97</v>
      </c>
      <c r="I15" s="11">
        <v>800</v>
      </c>
      <c r="J15" s="11" t="str">
        <f t="shared" si="4"/>
        <v>Smartphone Google</v>
      </c>
      <c r="K15" s="11">
        <v>45</v>
      </c>
      <c r="L15" s="33">
        <f t="shared" si="6"/>
        <v>800</v>
      </c>
      <c r="M15" s="33" t="str">
        <f t="shared" si="5"/>
        <v>High</v>
      </c>
      <c r="N15" s="12" t="s">
        <v>28</v>
      </c>
      <c r="P15" s="2" t="s">
        <v>10</v>
      </c>
      <c r="Q15" s="5"/>
      <c r="R15" s="5"/>
    </row>
    <row r="16" spans="1:18" ht="15.5" x14ac:dyDescent="0.35">
      <c r="A16" s="10" t="s">
        <v>108</v>
      </c>
      <c r="B16" s="11" t="s">
        <v>93</v>
      </c>
      <c r="C16" s="11" t="str">
        <f t="shared" si="0"/>
        <v>24</v>
      </c>
      <c r="D16" s="11" t="str">
        <f t="shared" si="1"/>
        <v>MAY</v>
      </c>
      <c r="E16" s="28">
        <f t="shared" ca="1" si="2"/>
        <v>45801</v>
      </c>
      <c r="F16" s="11" t="str">
        <f t="shared" si="3"/>
        <v>CA</v>
      </c>
      <c r="G16" s="11" t="str">
        <f>PROPER(Table134[[#This Row],[Product Name]])</f>
        <v>Fitness Tracker</v>
      </c>
      <c r="H16" s="11" t="s">
        <v>109</v>
      </c>
      <c r="I16" s="11">
        <v>130</v>
      </c>
      <c r="J16" s="11" t="str">
        <f t="shared" si="4"/>
        <v>Fitness Tracker Garmin</v>
      </c>
      <c r="K16" s="11">
        <v>5</v>
      </c>
      <c r="L16" s="33">
        <f t="shared" si="6"/>
        <v>130</v>
      </c>
      <c r="M16" s="33" t="str">
        <f t="shared" si="5"/>
        <v>Low</v>
      </c>
      <c r="N16" s="12" t="s">
        <v>28</v>
      </c>
      <c r="P16" s="5"/>
      <c r="Q16" s="3" t="s">
        <v>11</v>
      </c>
      <c r="R16" s="5"/>
    </row>
    <row r="17" spans="1:18" ht="15.5" x14ac:dyDescent="0.35">
      <c r="A17" s="13" t="s">
        <v>29</v>
      </c>
      <c r="B17" s="14" t="s">
        <v>30</v>
      </c>
      <c r="C17" s="14" t="str">
        <f t="shared" si="0"/>
        <v>15</v>
      </c>
      <c r="D17" s="14" t="str">
        <f t="shared" si="1"/>
        <v>FEB</v>
      </c>
      <c r="E17" s="29">
        <f t="shared" ca="1" si="2"/>
        <v>46068</v>
      </c>
      <c r="F17" s="14" t="str">
        <f t="shared" si="3"/>
        <v>US</v>
      </c>
      <c r="G17" s="14" t="str">
        <f>PROPER(Table134[[#This Row],[Product Name]])</f>
        <v>Sneakers</v>
      </c>
      <c r="H17" s="14" t="s">
        <v>31</v>
      </c>
      <c r="I17" s="14">
        <v>80</v>
      </c>
      <c r="J17" s="14" t="str">
        <f t="shared" si="4"/>
        <v>Sneakers Nike</v>
      </c>
      <c r="K17" s="14">
        <v>15</v>
      </c>
      <c r="L17" s="32">
        <f t="shared" si="6"/>
        <v>80</v>
      </c>
      <c r="M17" s="32" t="str">
        <f t="shared" si="5"/>
        <v>Low</v>
      </c>
      <c r="N17" s="15" t="s">
        <v>32</v>
      </c>
      <c r="P17" s="5"/>
      <c r="Q17" s="3" t="s">
        <v>12</v>
      </c>
      <c r="R17" s="5"/>
    </row>
    <row r="18" spans="1:18" x14ac:dyDescent="0.25">
      <c r="A18" s="10" t="s">
        <v>40</v>
      </c>
      <c r="B18" s="11" t="s">
        <v>41</v>
      </c>
      <c r="C18" s="11" t="str">
        <f t="shared" si="0"/>
        <v>22</v>
      </c>
      <c r="D18" s="11" t="str">
        <f t="shared" si="1"/>
        <v>MAY</v>
      </c>
      <c r="E18" s="28">
        <f t="shared" ca="1" si="2"/>
        <v>45799</v>
      </c>
      <c r="F18" s="11" t="str">
        <f t="shared" si="3"/>
        <v>US</v>
      </c>
      <c r="G18" s="11" t="str">
        <f>PROPER(Table134[[#This Row],[Product Name]])</f>
        <v>Backpack</v>
      </c>
      <c r="H18" s="11" t="s">
        <v>42</v>
      </c>
      <c r="I18" s="11">
        <v>70</v>
      </c>
      <c r="J18" s="11" t="str">
        <f t="shared" si="4"/>
        <v>Backpack North Face</v>
      </c>
      <c r="K18" s="11">
        <v>20</v>
      </c>
      <c r="L18" s="33">
        <f t="shared" si="6"/>
        <v>70</v>
      </c>
      <c r="M18" s="33" t="str">
        <f t="shared" si="5"/>
        <v>Low</v>
      </c>
      <c r="N18" s="22" t="s">
        <v>32</v>
      </c>
      <c r="P18" s="5"/>
      <c r="Q18" s="5"/>
      <c r="R18" s="5"/>
    </row>
    <row r="19" spans="1:18" ht="15" x14ac:dyDescent="0.3">
      <c r="A19" s="10" t="s">
        <v>47</v>
      </c>
      <c r="B19" s="11" t="s">
        <v>48</v>
      </c>
      <c r="C19" s="11" t="str">
        <f t="shared" si="0"/>
        <v>19</v>
      </c>
      <c r="D19" s="11" t="str">
        <f t="shared" si="1"/>
        <v>JUL</v>
      </c>
      <c r="E19" s="28">
        <f t="shared" ca="1" si="2"/>
        <v>45857</v>
      </c>
      <c r="F19" s="11" t="str">
        <f t="shared" si="3"/>
        <v>UK</v>
      </c>
      <c r="G19" s="11" t="str">
        <f>PROPER(Table134[[#This Row],[Product Name]])</f>
        <v>T-Shirt</v>
      </c>
      <c r="H19" s="11" t="s">
        <v>49</v>
      </c>
      <c r="I19" s="11">
        <v>30</v>
      </c>
      <c r="J19" s="11" t="str">
        <f t="shared" si="4"/>
        <v>T-Shirt Adidas</v>
      </c>
      <c r="K19" s="11">
        <v>5</v>
      </c>
      <c r="L19" s="33">
        <f t="shared" si="6"/>
        <v>30</v>
      </c>
      <c r="M19" s="33" t="str">
        <f t="shared" si="5"/>
        <v>Low</v>
      </c>
      <c r="N19" s="12" t="s">
        <v>32</v>
      </c>
      <c r="P19" s="2" t="s">
        <v>13</v>
      </c>
      <c r="Q19" s="5"/>
      <c r="R19" s="5"/>
    </row>
    <row r="20" spans="1:18" ht="15.5" x14ac:dyDescent="0.35">
      <c r="A20" s="13" t="s">
        <v>63</v>
      </c>
      <c r="B20" s="14" t="s">
        <v>30</v>
      </c>
      <c r="C20" s="14" t="str">
        <f t="shared" si="0"/>
        <v>25</v>
      </c>
      <c r="D20" s="14" t="str">
        <f t="shared" si="1"/>
        <v>NOV</v>
      </c>
      <c r="E20" s="29">
        <f t="shared" ca="1" si="2"/>
        <v>45986</v>
      </c>
      <c r="F20" s="14" t="str">
        <f t="shared" si="3"/>
        <v>AU</v>
      </c>
      <c r="G20" s="14" t="str">
        <f>PROPER(Table134[[#This Row],[Product Name]])</f>
        <v>Sneakers</v>
      </c>
      <c r="H20" s="14" t="s">
        <v>49</v>
      </c>
      <c r="I20" s="14">
        <v>90</v>
      </c>
      <c r="J20" s="14" t="str">
        <f t="shared" si="4"/>
        <v>Sneakers Adidas</v>
      </c>
      <c r="K20" s="14">
        <v>40</v>
      </c>
      <c r="L20" s="32">
        <f t="shared" si="6"/>
        <v>90</v>
      </c>
      <c r="M20" s="32" t="str">
        <f t="shared" si="5"/>
        <v>Low</v>
      </c>
      <c r="N20" s="23" t="s">
        <v>32</v>
      </c>
      <c r="P20" s="5"/>
      <c r="Q20" s="3" t="s">
        <v>14</v>
      </c>
      <c r="R20" s="5"/>
    </row>
    <row r="21" spans="1:18" ht="15.5" x14ac:dyDescent="0.35">
      <c r="A21" s="10" t="s">
        <v>80</v>
      </c>
      <c r="B21" s="11" t="s">
        <v>81</v>
      </c>
      <c r="C21" s="11" t="str">
        <f t="shared" si="0"/>
        <v>01</v>
      </c>
      <c r="D21" s="11" t="str">
        <f t="shared" si="1"/>
        <v>MAR</v>
      </c>
      <c r="E21" s="28">
        <f t="shared" ca="1" si="2"/>
        <v>46082</v>
      </c>
      <c r="F21" s="11" t="str">
        <f t="shared" si="3"/>
        <v>UK</v>
      </c>
      <c r="G21" s="11" t="str">
        <f>PROPER(Table134[[#This Row],[Product Name]])</f>
        <v>Sunglasses</v>
      </c>
      <c r="H21" s="11" t="s">
        <v>82</v>
      </c>
      <c r="I21" s="11">
        <v>150</v>
      </c>
      <c r="J21" s="11" t="str">
        <f t="shared" si="4"/>
        <v>Sunglasses Oakley</v>
      </c>
      <c r="K21" s="11">
        <v>15</v>
      </c>
      <c r="L21" s="33">
        <f t="shared" si="6"/>
        <v>150</v>
      </c>
      <c r="M21" s="33" t="str">
        <f t="shared" si="5"/>
        <v>Low</v>
      </c>
      <c r="N21" s="12" t="s">
        <v>32</v>
      </c>
      <c r="P21" s="5"/>
      <c r="Q21" s="3" t="s">
        <v>15</v>
      </c>
      <c r="R21" s="5"/>
    </row>
    <row r="22" spans="1:18" x14ac:dyDescent="0.25">
      <c r="A22" s="10" t="s">
        <v>92</v>
      </c>
      <c r="B22" s="11" t="s">
        <v>93</v>
      </c>
      <c r="C22" s="11" t="str">
        <f t="shared" si="0"/>
        <v>19</v>
      </c>
      <c r="D22" s="11" t="str">
        <f t="shared" si="1"/>
        <v>JUL</v>
      </c>
      <c r="E22" s="28">
        <f t="shared" ca="1" si="2"/>
        <v>45857</v>
      </c>
      <c r="F22" s="11" t="str">
        <f t="shared" si="3"/>
        <v>BR</v>
      </c>
      <c r="G22" s="11" t="str">
        <f>PROPER(Table134[[#This Row],[Product Name]])</f>
        <v>Fitness Tracker</v>
      </c>
      <c r="H22" s="11" t="s">
        <v>94</v>
      </c>
      <c r="I22" s="11">
        <v>150</v>
      </c>
      <c r="J22" s="11" t="str">
        <f t="shared" si="4"/>
        <v>Fitness Tracker Xiaomi</v>
      </c>
      <c r="K22" s="11">
        <v>30</v>
      </c>
      <c r="L22" s="33">
        <f t="shared" si="6"/>
        <v>150</v>
      </c>
      <c r="M22" s="33" t="str">
        <f t="shared" si="5"/>
        <v>Low</v>
      </c>
      <c r="N22" s="22" t="s">
        <v>32</v>
      </c>
      <c r="P22" s="5"/>
      <c r="Q22" s="5"/>
      <c r="R22" s="5"/>
    </row>
    <row r="23" spans="1:18" ht="15" x14ac:dyDescent="0.3">
      <c r="A23" s="13" t="s">
        <v>98</v>
      </c>
      <c r="B23" s="14" t="s">
        <v>81</v>
      </c>
      <c r="C23" s="14" t="str">
        <f t="shared" si="0"/>
        <v>03</v>
      </c>
      <c r="D23" s="14" t="str">
        <f t="shared" si="1"/>
        <v>JUN</v>
      </c>
      <c r="E23" s="29">
        <f t="shared" ca="1" si="2"/>
        <v>45811</v>
      </c>
      <c r="F23" s="14" t="str">
        <f t="shared" si="3"/>
        <v>CA</v>
      </c>
      <c r="G23" s="14" t="str">
        <f>PROPER(Table134[[#This Row],[Product Name]])</f>
        <v>Sunglasses</v>
      </c>
      <c r="H23" s="14" t="s">
        <v>99</v>
      </c>
      <c r="I23" s="14"/>
      <c r="J23" s="14" t="str">
        <f t="shared" si="4"/>
        <v>Sunglasses Ray-Ban</v>
      </c>
      <c r="K23" s="14">
        <v>25</v>
      </c>
      <c r="L23" s="32">
        <f t="shared" si="6"/>
        <v>150</v>
      </c>
      <c r="M23" s="32" t="str">
        <f t="shared" si="5"/>
        <v>Low</v>
      </c>
      <c r="N23" s="15" t="s">
        <v>32</v>
      </c>
      <c r="P23" s="2" t="s">
        <v>16</v>
      </c>
      <c r="Q23" s="5"/>
      <c r="R23" s="5"/>
    </row>
    <row r="24" spans="1:18" ht="15.5" x14ac:dyDescent="0.35">
      <c r="A24" s="10" t="s">
        <v>102</v>
      </c>
      <c r="B24" s="11" t="s">
        <v>103</v>
      </c>
      <c r="C24" s="11" t="str">
        <f t="shared" si="0"/>
        <v>07</v>
      </c>
      <c r="D24" s="11" t="str">
        <f t="shared" si="1"/>
        <v>MAR</v>
      </c>
      <c r="E24" s="28">
        <f t="shared" ca="1" si="2"/>
        <v>46088</v>
      </c>
      <c r="F24" s="11" t="str">
        <f t="shared" si="3"/>
        <v>CA</v>
      </c>
      <c r="G24" s="11" t="str">
        <f>PROPER(Table134[[#This Row],[Product Name]])</f>
        <v>Dress</v>
      </c>
      <c r="H24" s="11" t="s">
        <v>104</v>
      </c>
      <c r="I24" s="11">
        <v>60</v>
      </c>
      <c r="J24" s="11" t="str">
        <f t="shared" si="4"/>
        <v>Dress Zara</v>
      </c>
      <c r="K24" s="11">
        <v>30</v>
      </c>
      <c r="L24" s="33">
        <f t="shared" si="6"/>
        <v>60</v>
      </c>
      <c r="M24" s="33" t="str">
        <f t="shared" si="5"/>
        <v>Low</v>
      </c>
      <c r="N24" s="12" t="s">
        <v>32</v>
      </c>
      <c r="P24" s="5"/>
      <c r="Q24" s="3" t="s">
        <v>17</v>
      </c>
      <c r="R24" s="5"/>
    </row>
    <row r="25" spans="1:18" ht="15.5" x14ac:dyDescent="0.35">
      <c r="A25" s="13" t="s">
        <v>110</v>
      </c>
      <c r="B25" s="14" t="s">
        <v>111</v>
      </c>
      <c r="C25" s="14" t="str">
        <f t="shared" si="0"/>
        <v>02</v>
      </c>
      <c r="D25" s="14" t="str">
        <f t="shared" si="1"/>
        <v>DEC</v>
      </c>
      <c r="E25" s="29">
        <f t="shared" ca="1" si="2"/>
        <v>45993</v>
      </c>
      <c r="F25" s="14" t="str">
        <f t="shared" si="3"/>
        <v>CA</v>
      </c>
      <c r="G25" s="14" t="str">
        <f>PROPER(Table134[[#This Row],[Product Name]])</f>
        <v>Jeans</v>
      </c>
      <c r="H25" s="14" t="s">
        <v>112</v>
      </c>
      <c r="I25" s="14">
        <v>50</v>
      </c>
      <c r="J25" s="14" t="str">
        <f t="shared" si="4"/>
        <v>Jeans Levi's</v>
      </c>
      <c r="K25" s="14">
        <v>50</v>
      </c>
      <c r="L25" s="32">
        <f t="shared" si="6"/>
        <v>50</v>
      </c>
      <c r="M25" s="32" t="str">
        <f t="shared" si="5"/>
        <v>Low</v>
      </c>
      <c r="N25" s="15" t="s">
        <v>32</v>
      </c>
      <c r="P25" s="5"/>
      <c r="Q25" s="3"/>
      <c r="R25" s="5"/>
    </row>
    <row r="26" spans="1:18" ht="14" x14ac:dyDescent="0.3">
      <c r="A26" s="10" t="s">
        <v>33</v>
      </c>
      <c r="B26" s="11" t="s">
        <v>34</v>
      </c>
      <c r="C26" s="11" t="str">
        <f t="shared" si="0"/>
        <v>03</v>
      </c>
      <c r="D26" s="11" t="str">
        <f t="shared" si="1"/>
        <v>MAR</v>
      </c>
      <c r="E26" s="28">
        <f t="shared" ca="1" si="2"/>
        <v>46084</v>
      </c>
      <c r="F26" s="11" t="str">
        <f t="shared" si="3"/>
        <v>US</v>
      </c>
      <c r="G26" s="11" t="str">
        <f>PROPER(Table134[[#This Row],[Product Name]])</f>
        <v>Coffee Maker</v>
      </c>
      <c r="H26" s="11" t="s">
        <v>35</v>
      </c>
      <c r="I26" s="11">
        <v>130</v>
      </c>
      <c r="J26" s="11" t="str">
        <f t="shared" si="4"/>
        <v>Coffee Maker Keurig</v>
      </c>
      <c r="K26" s="11">
        <v>40</v>
      </c>
      <c r="L26" s="33">
        <f t="shared" si="6"/>
        <v>130</v>
      </c>
      <c r="M26" s="33" t="str">
        <f t="shared" si="5"/>
        <v>Low</v>
      </c>
      <c r="N26" s="12" t="s">
        <v>36</v>
      </c>
      <c r="P26" s="5"/>
      <c r="Q26" s="5"/>
      <c r="R26" s="6"/>
    </row>
    <row r="27" spans="1:18" x14ac:dyDescent="0.25">
      <c r="A27" s="13" t="s">
        <v>50</v>
      </c>
      <c r="B27" s="14" t="s">
        <v>51</v>
      </c>
      <c r="C27" s="14" t="str">
        <f t="shared" si="0"/>
        <v>23</v>
      </c>
      <c r="D27" s="14" t="str">
        <f t="shared" si="1"/>
        <v>AUG</v>
      </c>
      <c r="E27" s="29">
        <f t="shared" ca="1" si="2"/>
        <v>45892</v>
      </c>
      <c r="F27" s="14" t="str">
        <f t="shared" si="3"/>
        <v>UK</v>
      </c>
      <c r="G27" s="14" t="str">
        <f>PROPER(Table134[[#This Row],[Product Name]])</f>
        <v>Blender</v>
      </c>
      <c r="H27" s="14" t="s">
        <v>52</v>
      </c>
      <c r="I27" s="14">
        <v>90</v>
      </c>
      <c r="J27" s="14" t="str">
        <f t="shared" si="4"/>
        <v>Blender Ninja</v>
      </c>
      <c r="K27" s="14">
        <v>35</v>
      </c>
      <c r="L27" s="32">
        <f t="shared" si="6"/>
        <v>90</v>
      </c>
      <c r="M27" s="32" t="str">
        <f t="shared" si="5"/>
        <v>Low</v>
      </c>
      <c r="N27" s="15" t="s">
        <v>36</v>
      </c>
    </row>
    <row r="28" spans="1:18" x14ac:dyDescent="0.25">
      <c r="A28" s="13" t="s">
        <v>89</v>
      </c>
      <c r="B28" s="14" t="s">
        <v>90</v>
      </c>
      <c r="C28" s="14" t="str">
        <f t="shared" si="0"/>
        <v>09</v>
      </c>
      <c r="D28" s="14" t="str">
        <f t="shared" si="1"/>
        <v>JAN</v>
      </c>
      <c r="E28" s="29">
        <f t="shared" ca="1" si="2"/>
        <v>46031</v>
      </c>
      <c r="F28" s="14" t="str">
        <f t="shared" si="3"/>
        <v>CA</v>
      </c>
      <c r="G28" s="14" t="str">
        <f>PROPER(Table134[[#This Row],[Product Name]])</f>
        <v>Microwave</v>
      </c>
      <c r="H28" s="14" t="s">
        <v>91</v>
      </c>
      <c r="I28" s="14">
        <v>80</v>
      </c>
      <c r="J28" s="14" t="str">
        <f t="shared" si="4"/>
        <v>Microwave Panasonic</v>
      </c>
      <c r="K28" s="14">
        <v>20</v>
      </c>
      <c r="L28" s="32">
        <f t="shared" si="6"/>
        <v>80</v>
      </c>
      <c r="M28" s="32" t="str">
        <f t="shared" si="5"/>
        <v>Low</v>
      </c>
      <c r="N28" s="15" t="s">
        <v>36</v>
      </c>
    </row>
    <row r="29" spans="1:18" x14ac:dyDescent="0.25">
      <c r="A29" s="10" t="s">
        <v>100</v>
      </c>
      <c r="B29" s="11" t="s">
        <v>51</v>
      </c>
      <c r="C29" s="11" t="str">
        <f t="shared" si="0"/>
        <v>11</v>
      </c>
      <c r="D29" s="11" t="str">
        <f t="shared" si="1"/>
        <v>JUL</v>
      </c>
      <c r="E29" s="28">
        <f t="shared" ca="1" si="2"/>
        <v>45849</v>
      </c>
      <c r="F29" s="11" t="str">
        <f t="shared" si="3"/>
        <v>CA</v>
      </c>
      <c r="G29" s="11" t="str">
        <f>PROPER(Table134[[#This Row],[Product Name]])</f>
        <v>Blender</v>
      </c>
      <c r="H29" s="11" t="s">
        <v>101</v>
      </c>
      <c r="I29" s="11">
        <v>400</v>
      </c>
      <c r="J29" s="11" t="str">
        <f t="shared" si="4"/>
        <v>Blender Vitamix</v>
      </c>
      <c r="K29" s="11">
        <v>40</v>
      </c>
      <c r="L29" s="33">
        <f t="shared" si="6"/>
        <v>400</v>
      </c>
      <c r="M29" s="33" t="str">
        <f t="shared" si="5"/>
        <v>Medium</v>
      </c>
      <c r="N29" s="12" t="s">
        <v>36</v>
      </c>
    </row>
    <row r="30" spans="1:18" x14ac:dyDescent="0.25">
      <c r="A30" s="13" t="s">
        <v>105</v>
      </c>
      <c r="B30" s="14" t="s">
        <v>106</v>
      </c>
      <c r="C30" s="14" t="str">
        <f t="shared" si="0"/>
        <v>13</v>
      </c>
      <c r="D30" s="14" t="str">
        <f t="shared" si="1"/>
        <v>APR</v>
      </c>
      <c r="E30" s="29">
        <f t="shared" ca="1" si="2"/>
        <v>46125</v>
      </c>
      <c r="F30" s="14" t="str">
        <f t="shared" si="3"/>
        <v>CA</v>
      </c>
      <c r="G30" s="14" t="str">
        <f>PROPER(Table134[[#This Row],[Product Name]])</f>
        <v>Toaster</v>
      </c>
      <c r="H30" s="14" t="s">
        <v>107</v>
      </c>
      <c r="I30" s="14">
        <v>40</v>
      </c>
      <c r="J30" s="14" t="str">
        <f t="shared" si="4"/>
        <v>Toaster Hamilton</v>
      </c>
      <c r="K30" s="14">
        <v>10</v>
      </c>
      <c r="L30" s="32">
        <f t="shared" si="6"/>
        <v>40</v>
      </c>
      <c r="M30" s="32" t="str">
        <f t="shared" si="5"/>
        <v>Low</v>
      </c>
      <c r="N30" s="15" t="s">
        <v>36</v>
      </c>
    </row>
    <row r="31" spans="1:18" x14ac:dyDescent="0.25">
      <c r="A31" s="13" t="s">
        <v>56</v>
      </c>
      <c r="B31" s="14" t="s">
        <v>57</v>
      </c>
      <c r="C31" s="14" t="str">
        <f t="shared" si="0"/>
        <v>14</v>
      </c>
      <c r="D31" s="14" t="str">
        <f t="shared" si="1"/>
        <v>OCT</v>
      </c>
      <c r="E31" s="29">
        <f t="shared" ca="1" si="2"/>
        <v>45944</v>
      </c>
      <c r="F31" s="14" t="str">
        <f t="shared" si="3"/>
        <v>UK</v>
      </c>
      <c r="G31" s="14" t="str">
        <f>PROPER(Table134[[#This Row],[Product Name]])</f>
        <v>Hiking Boots</v>
      </c>
      <c r="H31" s="14" t="s">
        <v>58</v>
      </c>
      <c r="I31" s="14">
        <v>130</v>
      </c>
      <c r="J31" s="14" t="str">
        <f t="shared" si="4"/>
        <v>Hiking Boots Timberland</v>
      </c>
      <c r="K31" s="14">
        <v>10</v>
      </c>
      <c r="L31" s="32">
        <f t="shared" si="6"/>
        <v>130</v>
      </c>
      <c r="M31" s="32" t="str">
        <f t="shared" si="5"/>
        <v>Low</v>
      </c>
      <c r="N31" s="15" t="s">
        <v>59</v>
      </c>
    </row>
    <row r="32" spans="1:18" x14ac:dyDescent="0.25">
      <c r="A32" s="16" t="s">
        <v>83</v>
      </c>
      <c r="B32" s="17" t="s">
        <v>84</v>
      </c>
      <c r="C32" s="17" t="str">
        <f t="shared" si="0"/>
        <v>14</v>
      </c>
      <c r="D32" s="17" t="str">
        <f t="shared" si="1"/>
        <v>AUG</v>
      </c>
      <c r="E32" s="30">
        <f t="shared" ca="1" si="2"/>
        <v>45883</v>
      </c>
      <c r="F32" s="17" t="str">
        <f t="shared" si="3"/>
        <v>US</v>
      </c>
      <c r="G32" s="17" t="str">
        <f>PROPER(Table134[[#This Row],[Product Name]])</f>
        <v>Camping Tent</v>
      </c>
      <c r="H32" s="17" t="s">
        <v>85</v>
      </c>
      <c r="I32" s="17"/>
      <c r="J32" s="17" t="str">
        <f t="shared" si="4"/>
        <v>Camping Tent Coleman</v>
      </c>
      <c r="K32" s="17">
        <v>10</v>
      </c>
      <c r="L32" s="25">
        <f>IFERROR(IF(I13="",AVERAGEIF(B:B,B13,I:I),I13), " ")</f>
        <v>980</v>
      </c>
      <c r="M32" s="26" t="str">
        <f>IF(L32&lt;=300,"Low",IF(L32&lt;=700,"Medium","High"))</f>
        <v>High</v>
      </c>
      <c r="N32" s="18" t="s">
        <v>59</v>
      </c>
    </row>
  </sheetData>
  <phoneticPr fontId="10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FA27-F209-424D-BA80-760D41251CC7}">
  <dimension ref="A1:P1000"/>
  <sheetViews>
    <sheetView workbookViewId="0">
      <selection sqref="A1:G1048576"/>
    </sheetView>
  </sheetViews>
  <sheetFormatPr defaultColWidth="12.6328125" defaultRowHeight="12.5" x14ac:dyDescent="0.25"/>
  <cols>
    <col min="1" max="1" width="12.6328125" style="19"/>
    <col min="2" max="3" width="15" style="19" customWidth="1"/>
    <col min="4" max="4" width="13.36328125" style="19" customWidth="1"/>
    <col min="5" max="7" width="12.6328125" style="19"/>
  </cols>
  <sheetData>
    <row r="1" spans="1:16" ht="15.75" customHeight="1" x14ac:dyDescent="0.25">
      <c r="A1" s="7" t="s">
        <v>19</v>
      </c>
      <c r="B1" s="8" t="s">
        <v>20</v>
      </c>
      <c r="C1" s="8" t="s">
        <v>116</v>
      </c>
      <c r="D1" s="8" t="s">
        <v>21</v>
      </c>
      <c r="E1" s="8" t="s">
        <v>22</v>
      </c>
      <c r="F1" s="8" t="s">
        <v>23</v>
      </c>
      <c r="G1" s="9" t="s">
        <v>24</v>
      </c>
    </row>
    <row r="2" spans="1:16" ht="15.75" customHeight="1" x14ac:dyDescent="0.25">
      <c r="A2" s="10" t="s">
        <v>25</v>
      </c>
      <c r="B2" s="11" t="s">
        <v>26</v>
      </c>
      <c r="C2" s="11" t="str">
        <f>PROPER(Table13[[#This Row],[Product Name]])</f>
        <v>Laptop</v>
      </c>
      <c r="D2" s="11" t="s">
        <v>27</v>
      </c>
      <c r="E2" s="11">
        <v>1000</v>
      </c>
      <c r="F2" s="11">
        <v>30</v>
      </c>
      <c r="G2" s="12" t="s">
        <v>28</v>
      </c>
    </row>
    <row r="3" spans="1:16" ht="15.75" customHeight="1" x14ac:dyDescent="0.25">
      <c r="A3" s="13" t="s">
        <v>29</v>
      </c>
      <c r="B3" s="14" t="s">
        <v>30</v>
      </c>
      <c r="C3" s="14" t="str">
        <f>PROPER(Table13[[#This Row],[Product Name]])</f>
        <v>Sneakers</v>
      </c>
      <c r="D3" s="14" t="s">
        <v>31</v>
      </c>
      <c r="E3" s="14">
        <v>80</v>
      </c>
      <c r="F3" s="14">
        <v>15</v>
      </c>
      <c r="G3" s="15" t="s">
        <v>32</v>
      </c>
    </row>
    <row r="4" spans="1:16" ht="15.75" customHeight="1" x14ac:dyDescent="0.25">
      <c r="A4" s="10" t="s">
        <v>33</v>
      </c>
      <c r="B4" s="11" t="s">
        <v>34</v>
      </c>
      <c r="C4" s="11" t="str">
        <f>PROPER(Table13[[#This Row],[Product Name]])</f>
        <v>Coffee Maker</v>
      </c>
      <c r="D4" s="11" t="s">
        <v>35</v>
      </c>
      <c r="E4" s="11">
        <v>130</v>
      </c>
      <c r="F4" s="11">
        <v>40</v>
      </c>
      <c r="G4" s="12" t="s">
        <v>36</v>
      </c>
    </row>
    <row r="5" spans="1:16" ht="15.75" customHeight="1" x14ac:dyDescent="0.25">
      <c r="A5" s="13" t="s">
        <v>37</v>
      </c>
      <c r="B5" s="14" t="s">
        <v>38</v>
      </c>
      <c r="C5" s="14" t="str">
        <f>PROPER(Table13[[#This Row],[Product Name]])</f>
        <v>Smartphone</v>
      </c>
      <c r="D5" s="14" t="s">
        <v>39</v>
      </c>
      <c r="E5" s="14">
        <v>900</v>
      </c>
      <c r="F5" s="14">
        <v>25</v>
      </c>
      <c r="G5" s="15" t="s">
        <v>28</v>
      </c>
    </row>
    <row r="6" spans="1:16" ht="15.75" customHeight="1" x14ac:dyDescent="0.25">
      <c r="A6" s="10" t="s">
        <v>40</v>
      </c>
      <c r="B6" s="11" t="s">
        <v>41</v>
      </c>
      <c r="C6" s="11" t="str">
        <f>PROPER(Table13[[#This Row],[Product Name]])</f>
        <v>Backpack</v>
      </c>
      <c r="D6" s="11" t="s">
        <v>42</v>
      </c>
      <c r="E6" s="11">
        <v>70</v>
      </c>
      <c r="F6" s="11">
        <v>20</v>
      </c>
      <c r="G6" s="12"/>
    </row>
    <row r="7" spans="1:16" ht="15.75" customHeight="1" x14ac:dyDescent="0.25">
      <c r="A7" s="13" t="s">
        <v>43</v>
      </c>
      <c r="B7" s="14" t="s">
        <v>44</v>
      </c>
      <c r="C7" s="14" t="str">
        <f>PROPER(Table13[[#This Row],[Product Name]])</f>
        <v>Headphones</v>
      </c>
      <c r="D7" s="14" t="s">
        <v>45</v>
      </c>
      <c r="E7" s="14"/>
      <c r="F7" s="14">
        <v>45</v>
      </c>
      <c r="G7" s="15" t="s">
        <v>46</v>
      </c>
    </row>
    <row r="8" spans="1:16" ht="15.75" customHeight="1" x14ac:dyDescent="0.25">
      <c r="A8" s="10" t="s">
        <v>47</v>
      </c>
      <c r="B8" s="11" t="s">
        <v>48</v>
      </c>
      <c r="C8" s="11" t="str">
        <f>PROPER(Table13[[#This Row],[Product Name]])</f>
        <v>T-Shirt</v>
      </c>
      <c r="D8" s="11" t="s">
        <v>49</v>
      </c>
      <c r="E8" s="11">
        <v>30</v>
      </c>
      <c r="F8" s="11">
        <v>5</v>
      </c>
      <c r="G8" s="12" t="s">
        <v>32</v>
      </c>
    </row>
    <row r="9" spans="1:16" ht="15.75" customHeight="1" x14ac:dyDescent="0.25">
      <c r="A9" s="13" t="s">
        <v>50</v>
      </c>
      <c r="B9" s="14" t="s">
        <v>51</v>
      </c>
      <c r="C9" s="14" t="str">
        <f>PROPER(Table13[[#This Row],[Product Name]])</f>
        <v>Blender</v>
      </c>
      <c r="D9" s="14" t="s">
        <v>52</v>
      </c>
      <c r="E9" s="14">
        <v>90</v>
      </c>
      <c r="F9" s="14">
        <v>35</v>
      </c>
      <c r="G9" s="15" t="s">
        <v>36</v>
      </c>
    </row>
    <row r="10" spans="1:16" ht="15.75" customHeight="1" x14ac:dyDescent="0.25">
      <c r="A10" s="10" t="s">
        <v>53</v>
      </c>
      <c r="B10" s="11" t="s">
        <v>54</v>
      </c>
      <c r="C10" s="11" t="str">
        <f>PROPER(Table13[[#This Row],[Product Name]])</f>
        <v>Tablet</v>
      </c>
      <c r="D10" s="11" t="s">
        <v>55</v>
      </c>
      <c r="E10" s="11">
        <v>500</v>
      </c>
      <c r="F10" s="11">
        <v>50</v>
      </c>
      <c r="G10" s="12" t="s">
        <v>28</v>
      </c>
    </row>
    <row r="11" spans="1:16" ht="15.75" customHeight="1" x14ac:dyDescent="0.25">
      <c r="A11" s="13" t="s">
        <v>56</v>
      </c>
      <c r="B11" s="14" t="s">
        <v>57</v>
      </c>
      <c r="C11" s="14" t="str">
        <f>PROPER(Table13[[#This Row],[Product Name]])</f>
        <v>Hiking Boots</v>
      </c>
      <c r="D11" s="14" t="s">
        <v>58</v>
      </c>
      <c r="E11" s="14">
        <v>130</v>
      </c>
      <c r="F11" s="14">
        <v>10</v>
      </c>
      <c r="G11" s="15" t="s">
        <v>59</v>
      </c>
    </row>
    <row r="12" spans="1:16" ht="15.75" customHeight="1" x14ac:dyDescent="0.25">
      <c r="A12" s="10" t="s">
        <v>60</v>
      </c>
      <c r="B12" s="11" t="s">
        <v>61</v>
      </c>
      <c r="C12" s="11" t="str">
        <f>PROPER(Table13[[#This Row],[Product Name]])</f>
        <v>Laptop</v>
      </c>
      <c r="D12" s="11" t="s">
        <v>62</v>
      </c>
      <c r="E12" s="11">
        <v>950</v>
      </c>
      <c r="F12" s="11">
        <v>25</v>
      </c>
      <c r="G12" s="12" t="s">
        <v>28</v>
      </c>
    </row>
    <row r="13" spans="1:16" ht="15.75" customHeight="1" x14ac:dyDescent="0.25">
      <c r="A13" s="13" t="s">
        <v>63</v>
      </c>
      <c r="B13" s="14" t="s">
        <v>30</v>
      </c>
      <c r="C13" s="14" t="str">
        <f>PROPER(Table13[[#This Row],[Product Name]])</f>
        <v>Sneakers</v>
      </c>
      <c r="D13" s="14" t="s">
        <v>49</v>
      </c>
      <c r="E13" s="14">
        <v>90</v>
      </c>
      <c r="F13" s="14">
        <v>40</v>
      </c>
      <c r="G13" s="15"/>
    </row>
    <row r="14" spans="1:16" ht="15.75" customHeight="1" x14ac:dyDescent="0.25">
      <c r="A14" s="10" t="s">
        <v>64</v>
      </c>
      <c r="B14" s="11" t="s">
        <v>34</v>
      </c>
      <c r="C14" s="11" t="str">
        <f>PROPER(Table13[[#This Row],[Product Name]])</f>
        <v>Coffee Maker</v>
      </c>
      <c r="D14" s="11" t="s">
        <v>65</v>
      </c>
      <c r="E14" s="11">
        <v>120</v>
      </c>
      <c r="F14" s="11">
        <v>35</v>
      </c>
      <c r="G14" s="12"/>
      <c r="I14" s="5"/>
      <c r="J14" s="5"/>
      <c r="K14" s="5"/>
      <c r="L14" s="5"/>
      <c r="M14" s="5"/>
      <c r="N14" s="5"/>
      <c r="O14" s="5"/>
      <c r="P14" s="5"/>
    </row>
    <row r="15" spans="1:16" ht="15.75" customHeight="1" x14ac:dyDescent="0.25">
      <c r="A15" s="13" t="s">
        <v>66</v>
      </c>
      <c r="B15" s="14" t="s">
        <v>67</v>
      </c>
      <c r="C15" s="14" t="str">
        <f>PROPER(Table13[[#This Row],[Product Name]])</f>
        <v>Smartwatch</v>
      </c>
      <c r="D15" s="14" t="s">
        <v>68</v>
      </c>
      <c r="E15" s="14">
        <v>150</v>
      </c>
      <c r="F15" s="14">
        <v>15</v>
      </c>
      <c r="G15" s="15" t="s">
        <v>46</v>
      </c>
      <c r="I15" s="5"/>
      <c r="J15" s="5"/>
      <c r="K15" s="5"/>
      <c r="L15" s="5"/>
      <c r="M15" s="5"/>
      <c r="N15" s="5"/>
      <c r="O15" s="5"/>
      <c r="P15" s="5"/>
    </row>
    <row r="16" spans="1:16" ht="15.75" customHeight="1" x14ac:dyDescent="0.25">
      <c r="A16" s="10" t="s">
        <v>69</v>
      </c>
      <c r="B16" s="11" t="s">
        <v>70</v>
      </c>
      <c r="C16" s="11" t="str">
        <f>PROPER(Table13[[#This Row],[Product Name]])</f>
        <v>Headphones</v>
      </c>
      <c r="D16" s="11" t="s">
        <v>71</v>
      </c>
      <c r="E16" s="11">
        <v>250</v>
      </c>
      <c r="F16" s="11">
        <v>20</v>
      </c>
      <c r="G16" s="12" t="s">
        <v>46</v>
      </c>
      <c r="I16" s="5"/>
      <c r="J16" s="5"/>
      <c r="K16" s="5"/>
      <c r="L16" s="5"/>
      <c r="M16" s="5"/>
      <c r="N16" s="5"/>
      <c r="O16" s="5"/>
      <c r="P16" s="5"/>
    </row>
    <row r="17" spans="1:16" ht="15.75" customHeight="1" x14ac:dyDescent="0.25">
      <c r="A17" s="13" t="s">
        <v>72</v>
      </c>
      <c r="B17" s="14" t="s">
        <v>73</v>
      </c>
      <c r="C17" s="14" t="str">
        <f>PROPER(Table13[[#This Row],[Product Name]])</f>
        <v>Laptop Bag</v>
      </c>
      <c r="D17" s="14" t="s">
        <v>74</v>
      </c>
      <c r="E17" s="14">
        <v>50</v>
      </c>
      <c r="F17" s="14">
        <v>35</v>
      </c>
      <c r="G17" s="15" t="s">
        <v>75</v>
      </c>
      <c r="I17" s="5"/>
      <c r="J17" s="5"/>
      <c r="K17" s="5"/>
      <c r="L17" s="5"/>
      <c r="M17" s="5"/>
      <c r="N17" s="5"/>
      <c r="O17" s="5"/>
      <c r="P17" s="5"/>
    </row>
    <row r="18" spans="1:16" ht="15.75" customHeight="1" x14ac:dyDescent="0.25">
      <c r="A18" s="10" t="s">
        <v>76</v>
      </c>
      <c r="B18" s="11" t="s">
        <v>67</v>
      </c>
      <c r="C18" s="11" t="str">
        <f>PROPER(Table13[[#This Row],[Product Name]])</f>
        <v>Smartwatch</v>
      </c>
      <c r="D18" s="11" t="s">
        <v>77</v>
      </c>
      <c r="E18" s="11">
        <v>160</v>
      </c>
      <c r="F18" s="11">
        <v>15</v>
      </c>
      <c r="G18" s="12" t="s">
        <v>46</v>
      </c>
      <c r="I18" s="5"/>
      <c r="J18" s="5"/>
      <c r="K18" s="5"/>
      <c r="L18" s="5"/>
      <c r="M18" s="5"/>
      <c r="N18" s="5"/>
      <c r="O18" s="5"/>
      <c r="P18" s="5"/>
    </row>
    <row r="19" spans="1:16" ht="15.75" customHeight="1" x14ac:dyDescent="0.25">
      <c r="A19" s="13" t="s">
        <v>78</v>
      </c>
      <c r="B19" s="14" t="s">
        <v>26</v>
      </c>
      <c r="C19" s="14" t="str">
        <f>PROPER(Table13[[#This Row],[Product Name]])</f>
        <v>Laptop</v>
      </c>
      <c r="D19" s="14" t="s">
        <v>79</v>
      </c>
      <c r="E19" s="14">
        <v>980</v>
      </c>
      <c r="F19" s="14">
        <v>10</v>
      </c>
      <c r="G19" s="15" t="s">
        <v>28</v>
      </c>
      <c r="I19" s="5"/>
      <c r="J19" s="5"/>
      <c r="K19" s="5"/>
      <c r="L19" s="5"/>
      <c r="M19" s="5"/>
      <c r="N19" s="5"/>
      <c r="O19" s="5"/>
      <c r="P19" s="5"/>
    </row>
    <row r="20" spans="1:16" ht="15.75" customHeight="1" x14ac:dyDescent="0.25">
      <c r="A20" s="10" t="s">
        <v>80</v>
      </c>
      <c r="B20" s="11" t="s">
        <v>81</v>
      </c>
      <c r="C20" s="11" t="str">
        <f>PROPER(Table13[[#This Row],[Product Name]])</f>
        <v>Sunglasses</v>
      </c>
      <c r="D20" s="11" t="s">
        <v>82</v>
      </c>
      <c r="E20" s="11">
        <v>150</v>
      </c>
      <c r="F20" s="11">
        <v>15</v>
      </c>
      <c r="G20" s="12" t="s">
        <v>32</v>
      </c>
      <c r="I20" s="5"/>
      <c r="J20" s="5"/>
      <c r="K20" s="5"/>
      <c r="L20" s="5"/>
      <c r="M20" s="5"/>
      <c r="N20" s="5"/>
      <c r="O20" s="5"/>
      <c r="P20" s="5"/>
    </row>
    <row r="21" spans="1:16" ht="15.75" customHeight="1" x14ac:dyDescent="0.25">
      <c r="A21" s="13" t="s">
        <v>83</v>
      </c>
      <c r="B21" s="14" t="s">
        <v>84</v>
      </c>
      <c r="C21" s="14" t="str">
        <f>PROPER(Table13[[#This Row],[Product Name]])</f>
        <v>Camping Tent</v>
      </c>
      <c r="D21" s="14" t="s">
        <v>85</v>
      </c>
      <c r="E21" s="14"/>
      <c r="F21" s="14">
        <v>10</v>
      </c>
      <c r="G21" s="15" t="s">
        <v>59</v>
      </c>
      <c r="I21" s="5"/>
      <c r="J21" s="5"/>
      <c r="K21" s="5"/>
      <c r="L21" s="5"/>
      <c r="M21" s="5"/>
      <c r="N21" s="5"/>
      <c r="O21" s="5"/>
      <c r="P21" s="5"/>
    </row>
    <row r="22" spans="1:16" ht="15.75" customHeight="1" x14ac:dyDescent="0.25">
      <c r="A22" s="10" t="s">
        <v>86</v>
      </c>
      <c r="B22" s="11" t="s">
        <v>87</v>
      </c>
      <c r="C22" s="11" t="str">
        <f>PROPER(Table13[[#This Row],[Product Name]])</f>
        <v>Camera</v>
      </c>
      <c r="D22" s="11" t="s">
        <v>88</v>
      </c>
      <c r="E22" s="11">
        <v>700</v>
      </c>
      <c r="F22" s="11">
        <v>50</v>
      </c>
      <c r="G22" s="12" t="s">
        <v>28</v>
      </c>
      <c r="I22" s="5"/>
      <c r="J22" s="5"/>
      <c r="K22" s="5"/>
      <c r="L22" s="5"/>
      <c r="M22" s="5"/>
      <c r="N22" s="5"/>
      <c r="O22" s="5"/>
      <c r="P22" s="5"/>
    </row>
    <row r="23" spans="1:16" ht="15.75" customHeight="1" x14ac:dyDescent="0.25">
      <c r="A23" s="13" t="s">
        <v>89</v>
      </c>
      <c r="B23" s="14" t="s">
        <v>90</v>
      </c>
      <c r="C23" s="14" t="str">
        <f>PROPER(Table13[[#This Row],[Product Name]])</f>
        <v>Microwave</v>
      </c>
      <c r="D23" s="14" t="s">
        <v>91</v>
      </c>
      <c r="E23" s="14">
        <v>80</v>
      </c>
      <c r="F23" s="14">
        <v>20</v>
      </c>
      <c r="G23" s="15" t="s">
        <v>36</v>
      </c>
      <c r="I23" s="5"/>
      <c r="J23" s="5"/>
      <c r="K23" s="5"/>
      <c r="L23" s="5"/>
      <c r="M23" s="5"/>
      <c r="N23" s="5"/>
      <c r="O23" s="5"/>
      <c r="P23" s="5"/>
    </row>
    <row r="24" spans="1:16" ht="15.75" customHeight="1" x14ac:dyDescent="0.25">
      <c r="A24" s="10" t="s">
        <v>92</v>
      </c>
      <c r="B24" s="11" t="s">
        <v>93</v>
      </c>
      <c r="C24" s="11" t="str">
        <f>PROPER(Table13[[#This Row],[Product Name]])</f>
        <v>Fitness Tracker</v>
      </c>
      <c r="D24" s="11" t="s">
        <v>94</v>
      </c>
      <c r="E24" s="11">
        <v>150</v>
      </c>
      <c r="F24" s="11">
        <v>30</v>
      </c>
      <c r="G24" s="12"/>
      <c r="I24" s="5"/>
      <c r="J24" s="5"/>
      <c r="K24" s="5"/>
      <c r="L24" s="5"/>
      <c r="M24" s="5"/>
      <c r="N24" s="5"/>
      <c r="O24" s="5"/>
      <c r="P24" s="5"/>
    </row>
    <row r="25" spans="1:16" ht="15.75" customHeight="1" x14ac:dyDescent="0.25">
      <c r="A25" s="13" t="s">
        <v>72</v>
      </c>
      <c r="B25" s="14" t="s">
        <v>73</v>
      </c>
      <c r="C25" s="14" t="str">
        <f>PROPER(Table13[[#This Row],[Product Name]])</f>
        <v>Laptop Bag</v>
      </c>
      <c r="D25" s="14" t="s">
        <v>74</v>
      </c>
      <c r="E25" s="14">
        <v>50</v>
      </c>
      <c r="F25" s="14">
        <v>35</v>
      </c>
      <c r="G25" s="15" t="s">
        <v>75</v>
      </c>
      <c r="I25" s="5"/>
      <c r="J25" s="5"/>
      <c r="K25" s="5"/>
      <c r="L25" s="5"/>
      <c r="M25" s="5"/>
      <c r="N25" s="5"/>
      <c r="O25" s="5"/>
      <c r="P25" s="5"/>
    </row>
    <row r="26" spans="1:16" ht="15.75" customHeight="1" x14ac:dyDescent="0.3">
      <c r="A26" s="10" t="s">
        <v>95</v>
      </c>
      <c r="B26" s="11" t="s">
        <v>96</v>
      </c>
      <c r="C26" s="11" t="str">
        <f>PROPER(Table13[[#This Row],[Product Name]])</f>
        <v>Smartphone</v>
      </c>
      <c r="D26" s="11" t="s">
        <v>97</v>
      </c>
      <c r="E26" s="11">
        <v>800</v>
      </c>
      <c r="F26" s="11">
        <v>45</v>
      </c>
      <c r="G26" s="12" t="s">
        <v>28</v>
      </c>
      <c r="I26" s="6"/>
      <c r="J26" s="5"/>
      <c r="K26" s="5"/>
      <c r="L26" s="5"/>
      <c r="M26" s="5"/>
      <c r="N26" s="5"/>
      <c r="O26" s="5"/>
      <c r="P26" s="5"/>
    </row>
    <row r="27" spans="1:16" ht="15.75" customHeight="1" x14ac:dyDescent="0.25">
      <c r="A27" s="13" t="s">
        <v>98</v>
      </c>
      <c r="B27" s="14" t="s">
        <v>81</v>
      </c>
      <c r="C27" s="14" t="str">
        <f>PROPER(Table13[[#This Row],[Product Name]])</f>
        <v>Sunglasses</v>
      </c>
      <c r="D27" s="14" t="s">
        <v>99</v>
      </c>
      <c r="E27" s="14"/>
      <c r="F27" s="14">
        <v>25</v>
      </c>
      <c r="G27" s="15" t="s">
        <v>32</v>
      </c>
    </row>
    <row r="28" spans="1:16" ht="15.75" customHeight="1" x14ac:dyDescent="0.25">
      <c r="A28" s="10" t="s">
        <v>100</v>
      </c>
      <c r="B28" s="11" t="s">
        <v>51</v>
      </c>
      <c r="C28" s="11" t="str">
        <f>PROPER(Table13[[#This Row],[Product Name]])</f>
        <v>Blender</v>
      </c>
      <c r="D28" s="11" t="s">
        <v>101</v>
      </c>
      <c r="E28" s="11">
        <v>400</v>
      </c>
      <c r="F28" s="11">
        <v>40</v>
      </c>
      <c r="G28" s="12" t="s">
        <v>36</v>
      </c>
    </row>
    <row r="29" spans="1:16" ht="15.75" customHeight="1" x14ac:dyDescent="0.25">
      <c r="A29" s="13" t="s">
        <v>69</v>
      </c>
      <c r="B29" s="14" t="s">
        <v>70</v>
      </c>
      <c r="C29" s="14" t="str">
        <f>PROPER(Table13[[#This Row],[Product Name]])</f>
        <v>Headphones</v>
      </c>
      <c r="D29" s="14" t="s">
        <v>71</v>
      </c>
      <c r="E29" s="14">
        <v>250</v>
      </c>
      <c r="F29" s="14">
        <v>20</v>
      </c>
      <c r="G29" s="15" t="s">
        <v>46</v>
      </c>
    </row>
    <row r="30" spans="1:16" ht="15.75" customHeight="1" x14ac:dyDescent="0.25">
      <c r="A30" s="10" t="s">
        <v>102</v>
      </c>
      <c r="B30" s="11" t="s">
        <v>103</v>
      </c>
      <c r="C30" s="11" t="str">
        <f>PROPER(Table13[[#This Row],[Product Name]])</f>
        <v>Dress</v>
      </c>
      <c r="D30" s="11" t="s">
        <v>104</v>
      </c>
      <c r="E30" s="11">
        <v>60</v>
      </c>
      <c r="F30" s="11">
        <v>30</v>
      </c>
      <c r="G30" s="12" t="s">
        <v>32</v>
      </c>
    </row>
    <row r="31" spans="1:16" ht="15.75" customHeight="1" x14ac:dyDescent="0.25">
      <c r="A31" s="13" t="s">
        <v>105</v>
      </c>
      <c r="B31" s="14" t="s">
        <v>106</v>
      </c>
      <c r="C31" s="14" t="str">
        <f>PROPER(Table13[[#This Row],[Product Name]])</f>
        <v>Toaster</v>
      </c>
      <c r="D31" s="14" t="s">
        <v>107</v>
      </c>
      <c r="E31" s="14">
        <v>40</v>
      </c>
      <c r="F31" s="14">
        <v>10</v>
      </c>
      <c r="G31" s="15" t="s">
        <v>36</v>
      </c>
    </row>
    <row r="32" spans="1:16" ht="15.75" customHeight="1" x14ac:dyDescent="0.25">
      <c r="A32" s="10" t="s">
        <v>108</v>
      </c>
      <c r="B32" s="11" t="s">
        <v>93</v>
      </c>
      <c r="C32" s="11" t="str">
        <f>PROPER(Table13[[#This Row],[Product Name]])</f>
        <v>Fitness Tracker</v>
      </c>
      <c r="D32" s="11" t="s">
        <v>109</v>
      </c>
      <c r="E32" s="11">
        <v>130</v>
      </c>
      <c r="F32" s="11">
        <v>5</v>
      </c>
      <c r="G32" s="12" t="s">
        <v>28</v>
      </c>
    </row>
    <row r="33" spans="1:8" ht="15.75" customHeight="1" x14ac:dyDescent="0.25">
      <c r="A33" s="13" t="s">
        <v>110</v>
      </c>
      <c r="B33" s="14" t="s">
        <v>111</v>
      </c>
      <c r="C33" s="14" t="str">
        <f>PROPER(Table13[[#This Row],[Product Name]])</f>
        <v>Jeans</v>
      </c>
      <c r="D33" s="14" t="s">
        <v>112</v>
      </c>
      <c r="E33" s="14">
        <v>50</v>
      </c>
      <c r="F33" s="14">
        <v>50</v>
      </c>
      <c r="G33" s="15" t="s">
        <v>32</v>
      </c>
    </row>
    <row r="34" spans="1:8" ht="15.75" customHeight="1" x14ac:dyDescent="0.25">
      <c r="A34" s="10" t="s">
        <v>60</v>
      </c>
      <c r="B34" s="11" t="s">
        <v>61</v>
      </c>
      <c r="C34" s="11" t="str">
        <f>PROPER(Table13[[#This Row],[Product Name]])</f>
        <v>Laptop</v>
      </c>
      <c r="D34" s="11" t="s">
        <v>62</v>
      </c>
      <c r="E34" s="11">
        <v>950</v>
      </c>
      <c r="F34" s="11">
        <v>25</v>
      </c>
      <c r="G34" s="12" t="s">
        <v>28</v>
      </c>
    </row>
    <row r="35" spans="1:8" ht="15.75" customHeight="1" x14ac:dyDescent="0.25">
      <c r="A35" s="16" t="s">
        <v>113</v>
      </c>
      <c r="B35" s="17" t="s">
        <v>114</v>
      </c>
      <c r="C35" s="17" t="str">
        <f>PROPER(Table13[[#This Row],[Product Name]])</f>
        <v>Watch</v>
      </c>
      <c r="D35" s="17" t="s">
        <v>115</v>
      </c>
      <c r="E35" s="17">
        <v>100</v>
      </c>
      <c r="F35" s="17">
        <v>20</v>
      </c>
      <c r="G35" s="18" t="s">
        <v>75</v>
      </c>
      <c r="H35">
        <v>5</v>
      </c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Set</vt:lpstr>
      <vt:lpstr>Copy of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Nalini Santhana Gopalan</cp:lastModifiedBy>
  <dcterms:modified xsi:type="dcterms:W3CDTF">2026-04-19T07:58:45Z</dcterms:modified>
</cp:coreProperties>
</file>